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 tabRatio="471"/>
  </bookViews>
  <sheets>
    <sheet name="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LENOVO</author>
  </authors>
  <commentList>
    <comment ref="E15" author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如采购金额为单价，该项填写总价金额；如采购金额为总价，则该项填写单价；</t>
        </r>
      </text>
    </comment>
    <comment ref="E23" author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如销售金额为单价，该项填写总价金额；如销售金额为总价，则该项填写单价；
</t>
        </r>
      </text>
    </comment>
    <comment ref="C36" author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如中标服务费、仓储物流费不单独计入，则按2023年销售费用占收入比%填入此处；如中标服务费、仓储物流费单独计入，则按2023年销售费用扣除中标服务费、仓储物流费后占收入比填入此处，并其后备注说明。</t>
        </r>
      </text>
    </comment>
  </commentList>
</comments>
</file>

<file path=xl/sharedStrings.xml><?xml version="1.0" encoding="utf-8"?>
<sst xmlns="http://schemas.openxmlformats.org/spreadsheetml/2006/main" count="93" uniqueCount="85">
  <si>
    <t>业务利润预测表</t>
  </si>
  <si>
    <r>
      <rPr>
        <b/>
        <sz val="11"/>
        <rFont val="微软雅黑"/>
        <charset val="134"/>
      </rPr>
      <t>实施单位：</t>
    </r>
    <r>
      <rPr>
        <sz val="11"/>
        <rFont val="微软雅黑"/>
        <charset val="134"/>
      </rPr>
      <t>新疆国投健康产业投资有限责任公司</t>
    </r>
  </si>
  <si>
    <t>编制日期：</t>
  </si>
  <si>
    <t>单位：元</t>
  </si>
  <si>
    <t>序号</t>
  </si>
  <si>
    <t>一、项目基础信息</t>
  </si>
  <si>
    <t>项目编号：XJLY25HW056</t>
  </si>
  <si>
    <t>项目名称：巴音郭楞蒙古自治州人民医院病理科仪器设备采购项目</t>
  </si>
  <si>
    <t>开标时间：2025年6月3日</t>
  </si>
  <si>
    <t>业务详情</t>
  </si>
  <si>
    <t>1.核心产品：全自动医用PCR分析系统、冷冻离心机等10种仪器设备</t>
  </si>
  <si>
    <t>2.预计成交金额：229万+22.9万履约金</t>
  </si>
  <si>
    <t>3.销售回款：货到验收入库付合同总价的100%，增加10%的履约保证金,3年后 退还5%，5年后退还5%。（具体以签订合同
为准）</t>
  </si>
  <si>
    <t>4.采购款支付：先款后货，第一期:合同签订后支付采购款的80%，第二期：货到验收后支付20%采购款，履约保证金3年后转支付114500元，5年后转支付114500元。</t>
  </si>
  <si>
    <t>发起部门及项目负责人</t>
  </si>
  <si>
    <t>市场部</t>
  </si>
  <si>
    <t>赵子萱</t>
  </si>
  <si>
    <t>二、采购环节</t>
  </si>
  <si>
    <t>供应商全称</t>
  </si>
  <si>
    <t>新疆康之湛生物科技有限公司</t>
  </si>
  <si>
    <t>采购金额（含税）</t>
  </si>
  <si>
    <t>税率13 %</t>
  </si>
  <si>
    <t>发票种类</t>
  </si>
  <si>
    <t>专票</t>
  </si>
  <si>
    <t>采购成本(不含税）</t>
  </si>
  <si>
    <t>预计采购金额</t>
  </si>
  <si>
    <t>上游</t>
  </si>
  <si>
    <t>付款方式</t>
  </si>
  <si>
    <t>先款后货</t>
  </si>
  <si>
    <t xml:space="preserve">第一期:合同签订后支付采购款的80%，履约保证金背靠上游 </t>
  </si>
  <si>
    <t>货到验收入库付10%</t>
  </si>
  <si>
    <t>履约保证金3年后转支付</t>
  </si>
  <si>
    <t>履约保证金5年后转支付</t>
  </si>
  <si>
    <t>三、销售环节</t>
  </si>
  <si>
    <t>客户全称</t>
  </si>
  <si>
    <t>巴音郭楞蒙古自治州人民医院</t>
  </si>
  <si>
    <t>销售金额（含税）</t>
  </si>
  <si>
    <t>销售收入（不含税）</t>
  </si>
  <si>
    <t>预计成交额</t>
  </si>
  <si>
    <t>下游</t>
  </si>
  <si>
    <t>回款方式</t>
  </si>
  <si>
    <t>先货后款</t>
  </si>
  <si>
    <t>货到验收入库付合同总价的100%</t>
  </si>
  <si>
    <t>3年后支付5%履约金</t>
  </si>
  <si>
    <t>5年后支付5%履约金</t>
  </si>
  <si>
    <t>四、项目毛利</t>
  </si>
  <si>
    <t>毛利额</t>
  </si>
  <si>
    <t>销售收入-采购成本</t>
  </si>
  <si>
    <t>毛利率</t>
  </si>
  <si>
    <t>毛利额/销售收入</t>
  </si>
  <si>
    <t>四、收益预测</t>
  </si>
  <si>
    <t>资金占用费</t>
  </si>
  <si>
    <r>
      <rPr>
        <sz val="10"/>
        <rFont val="微软雅黑"/>
        <charset val="134"/>
      </rPr>
      <t xml:space="preserve">资金成本率 </t>
    </r>
    <r>
      <rPr>
        <b/>
        <sz val="10"/>
        <rFont val="微软雅黑"/>
        <charset val="134"/>
      </rPr>
      <t xml:space="preserve"> </t>
    </r>
    <r>
      <rPr>
        <sz val="10"/>
        <rFont val="微软雅黑"/>
        <charset val="134"/>
      </rPr>
      <t>%</t>
    </r>
  </si>
  <si>
    <t>销售费用</t>
  </si>
  <si>
    <t>中标服务费</t>
  </si>
  <si>
    <t>仓储物流费用</t>
  </si>
  <si>
    <t>其他</t>
  </si>
  <si>
    <t>合计</t>
  </si>
  <si>
    <t>管理费用</t>
  </si>
  <si>
    <t>附加税</t>
  </si>
  <si>
    <t>税率合计12%</t>
  </si>
  <si>
    <t>印花税</t>
  </si>
  <si>
    <t>购销合同金额合计*0.3‰</t>
  </si>
  <si>
    <t>利润总额</t>
  </si>
  <si>
    <t>净利润</t>
  </si>
  <si>
    <t>利润总额*75%</t>
  </si>
  <si>
    <t>销售净利润率</t>
  </si>
  <si>
    <t>净利润/收入</t>
  </si>
  <si>
    <r>
      <t xml:space="preserve">结论及建议：
</t>
    </r>
    <r>
      <rPr>
        <sz val="10"/>
        <rFont val="微软雅黑"/>
        <charset val="134"/>
      </rPr>
      <t>1.XXX项目，为垫资（自有资金/需申请借款）/不垫资业务，需借款XXX万元；
2.上游为厂家/经销商，有合作背景，合作良好/一般；下游为医院/经销商，有合作背景，回款情况良好/一般，回款周期一般为6月；
3.该项目毛利率15%，考虑相关费用背靠上游/考虑2.929万元等销售费用，考虑管理费用0元/不考虑管理费用后，净利润率为8.55%，符合利润要求；
4.鉴于回款周期短，利润满足要求/较好，有利于开拓新客户/新市场/增加收入/存量客户或关系维系，故建议开展此项目。</t>
    </r>
  </si>
  <si>
    <t>财务资金部（复核）：</t>
  </si>
  <si>
    <t>资金成本计算表</t>
  </si>
  <si>
    <t>采购付款金额</t>
  </si>
  <si>
    <t>付款比例</t>
  </si>
  <si>
    <t>付款时间</t>
  </si>
  <si>
    <t>销售回款金额</t>
  </si>
  <si>
    <t>回款比例</t>
  </si>
  <si>
    <t>预计回款
时间</t>
  </si>
  <si>
    <t>资金占用天数</t>
  </si>
  <si>
    <t>成本费率</t>
  </si>
  <si>
    <t>资金成本</t>
  </si>
  <si>
    <t>第一次收付</t>
  </si>
  <si>
    <t>第二次收付</t>
  </si>
  <si>
    <t>第三次收付</t>
  </si>
  <si>
    <t>第四次收付</t>
  </si>
  <si>
    <t>第五次收付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</si>
</sst>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.00_);[Red]\(0.00\)"/>
  </numFmts>
  <fonts count="29">
    <font>
      <sz val="11"/>
      <color theme="1"/>
      <name val="宋体"/>
      <charset val="134"/>
      <scheme val="minor"/>
    </font>
    <font>
      <sz val="11"/>
      <name val="微软雅黑"/>
      <charset val="134"/>
    </font>
    <font>
      <b/>
      <sz val="18"/>
      <name val="微软雅黑"/>
      <charset val="134"/>
    </font>
    <font>
      <sz val="18"/>
      <name val="微软雅黑"/>
      <charset val="134"/>
    </font>
    <font>
      <b/>
      <sz val="11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b/>
      <sz val="14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8" applyNumberFormat="0" applyFill="0" applyAlignment="0" applyProtection="0">
      <alignment vertical="center"/>
    </xf>
    <xf numFmtId="0" fontId="14" fillId="0" borderId="28" applyNumberFormat="0" applyFill="0" applyAlignment="0" applyProtection="0">
      <alignment vertical="center"/>
    </xf>
    <xf numFmtId="0" fontId="15" fillId="0" borderId="2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30" applyNumberFormat="0" applyAlignment="0" applyProtection="0">
      <alignment vertical="center"/>
    </xf>
    <xf numFmtId="0" fontId="17" fillId="5" borderId="31" applyNumberFormat="0" applyAlignment="0" applyProtection="0">
      <alignment vertical="center"/>
    </xf>
    <xf numFmtId="0" fontId="18" fillId="5" borderId="30" applyNumberFormat="0" applyAlignment="0" applyProtection="0">
      <alignment vertical="center"/>
    </xf>
    <xf numFmtId="0" fontId="19" fillId="6" borderId="32" applyNumberFormat="0" applyAlignment="0" applyProtection="0">
      <alignment vertical="center"/>
    </xf>
    <xf numFmtId="0" fontId="20" fillId="0" borderId="33" applyNumberFormat="0" applyFill="0" applyAlignment="0" applyProtection="0">
      <alignment vertical="center"/>
    </xf>
    <xf numFmtId="0" fontId="21" fillId="0" borderId="34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31" fontId="1" fillId="0" borderId="0" xfId="0" applyNumberFormat="1" applyFont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176" fontId="6" fillId="0" borderId="5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76" fontId="6" fillId="0" borderId="5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5" xfId="0" applyFont="1" applyBorder="1">
      <alignment vertical="center"/>
    </xf>
    <xf numFmtId="177" fontId="6" fillId="0" borderId="5" xfId="0" applyNumberFormat="1" applyFont="1" applyBorder="1" applyAlignment="1">
      <alignment horizontal="center" vertical="center" wrapText="1"/>
    </xf>
    <xf numFmtId="177" fontId="6" fillId="0" borderId="7" xfId="0" applyNumberFormat="1" applyFont="1" applyBorder="1" applyAlignment="1">
      <alignment horizontal="left" vertical="center" wrapText="1"/>
    </xf>
    <xf numFmtId="10" fontId="6" fillId="0" borderId="5" xfId="3" applyNumberFormat="1" applyFont="1" applyBorder="1" applyAlignment="1">
      <alignment horizontal="center" vertical="center" wrapText="1"/>
    </xf>
    <xf numFmtId="10" fontId="6" fillId="0" borderId="7" xfId="3" applyNumberFormat="1" applyFont="1" applyBorder="1" applyAlignment="1">
      <alignment horizontal="left"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176" fontId="5" fillId="0" borderId="5" xfId="0" applyNumberFormat="1" applyFont="1" applyBorder="1" applyAlignment="1">
      <alignment horizontal="center" vertical="center" wrapText="1"/>
    </xf>
    <xf numFmtId="10" fontId="5" fillId="0" borderId="5" xfId="3" applyNumberFormat="1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left" vertical="top" wrapText="1"/>
    </xf>
    <xf numFmtId="0" fontId="6" fillId="2" borderId="5" xfId="0" applyFont="1" applyFill="1" applyBorder="1" applyAlignment="1">
      <alignment horizontal="left" vertical="top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7" fillId="0" borderId="17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43" fontId="6" fillId="0" borderId="5" xfId="0" applyNumberFormat="1" applyFont="1" applyFill="1" applyBorder="1" applyAlignment="1">
      <alignment horizontal="center" vertical="center"/>
    </xf>
    <xf numFmtId="10" fontId="6" fillId="0" borderId="5" xfId="0" applyNumberFormat="1" applyFont="1" applyFill="1" applyBorder="1" applyAlignment="1">
      <alignment horizontal="center" vertical="center"/>
    </xf>
    <xf numFmtId="14" fontId="6" fillId="0" borderId="5" xfId="0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43" fontId="6" fillId="0" borderId="9" xfId="0" applyNumberFormat="1" applyFont="1" applyFill="1" applyBorder="1" applyAlignment="1">
      <alignment horizontal="center" vertical="center"/>
    </xf>
    <xf numFmtId="10" fontId="6" fillId="0" borderId="9" xfId="0" applyNumberFormat="1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43" fontId="6" fillId="0" borderId="16" xfId="0" applyNumberFormat="1" applyFont="1" applyFill="1" applyBorder="1" applyAlignment="1">
      <alignment horizontal="center" vertical="center"/>
    </xf>
    <xf numFmtId="10" fontId="6" fillId="0" borderId="16" xfId="0" applyNumberFormat="1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20" xfId="0" applyFont="1" applyBorder="1" applyAlignment="1">
      <alignment horizontal="right" vertical="center" wrapText="1"/>
    </xf>
    <xf numFmtId="0" fontId="5" fillId="2" borderId="21" xfId="0" applyFont="1" applyFill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/>
    </xf>
    <xf numFmtId="176" fontId="1" fillId="0" borderId="0" xfId="0" applyNumberFormat="1" applyFont="1">
      <alignment vertical="center"/>
    </xf>
    <xf numFmtId="9" fontId="1" fillId="0" borderId="0" xfId="0" applyNumberFormat="1" applyFont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10" fontId="1" fillId="0" borderId="0" xfId="0" applyNumberFormat="1" applyFont="1">
      <alignment vertical="center"/>
    </xf>
    <xf numFmtId="177" fontId="6" fillId="0" borderId="22" xfId="0" applyNumberFormat="1" applyFont="1" applyBorder="1" applyAlignment="1">
      <alignment horizontal="left" vertical="center" wrapText="1"/>
    </xf>
    <xf numFmtId="10" fontId="6" fillId="0" borderId="22" xfId="3" applyNumberFormat="1" applyFont="1" applyBorder="1" applyAlignment="1">
      <alignment horizontal="left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left" vertical="top" wrapText="1"/>
    </xf>
    <xf numFmtId="0" fontId="5" fillId="0" borderId="23" xfId="0" applyFont="1" applyBorder="1" applyAlignment="1">
      <alignment horizontal="left" vertical="center" wrapText="1"/>
    </xf>
    <xf numFmtId="0" fontId="7" fillId="0" borderId="24" xfId="0" applyFont="1" applyFill="1" applyBorder="1" applyAlignment="1">
      <alignment horizontal="center" vertical="center"/>
    </xf>
    <xf numFmtId="10" fontId="6" fillId="0" borderId="14" xfId="0" applyNumberFormat="1" applyFont="1" applyFill="1" applyBorder="1" applyAlignment="1">
      <alignment horizontal="center" vertical="center" wrapText="1"/>
    </xf>
    <xf numFmtId="0" fontId="6" fillId="0" borderId="25" xfId="0" applyFont="1" applyFill="1" applyBorder="1" applyAlignment="1">
      <alignment horizontal="center" vertical="center" wrapText="1"/>
    </xf>
    <xf numFmtId="178" fontId="6" fillId="0" borderId="21" xfId="1" applyNumberFormat="1" applyFont="1" applyBorder="1" applyAlignment="1">
      <alignment horizontal="center" vertical="center"/>
    </xf>
    <xf numFmtId="178" fontId="6" fillId="0" borderId="26" xfId="1" applyNumberFormat="1" applyFont="1" applyFill="1" applyBorder="1" applyAlignment="1">
      <alignment horizontal="center" vertical="center"/>
    </xf>
    <xf numFmtId="178" fontId="6" fillId="0" borderId="23" xfId="1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55"/>
  <sheetViews>
    <sheetView tabSelected="1" view="pageBreakPreview" zoomScaleNormal="100" workbookViewId="0">
      <selection activeCell="B51" sqref="B51"/>
    </sheetView>
  </sheetViews>
  <sheetFormatPr defaultColWidth="9" defaultRowHeight="16.5"/>
  <cols>
    <col min="1" max="1" width="13.9090909090909" style="1" customWidth="1"/>
    <col min="2" max="2" width="15.2909090909091" style="1" customWidth="1"/>
    <col min="3" max="3" width="12.5" style="1" customWidth="1"/>
    <col min="4" max="4" width="15.8727272727273" style="1"/>
    <col min="5" max="5" width="16.4454545454545" style="1" customWidth="1"/>
    <col min="6" max="6" width="11.5" style="1"/>
    <col min="7" max="7" width="13.6181818181818" style="1"/>
    <col min="8" max="8" width="8.33636363636364" style="1" customWidth="1"/>
    <col min="9" max="9" width="7.10909090909091" style="1" customWidth="1"/>
    <col min="10" max="10" width="31.2181818181818" style="1" customWidth="1"/>
    <col min="11" max="11" width="19.3818181818182" style="1" customWidth="1"/>
    <col min="12" max="12" width="15.2727272727273" style="1"/>
    <col min="13" max="13" width="17.5181818181818" style="1" customWidth="1"/>
    <col min="14" max="14" width="10.0363636363636" style="1" customWidth="1"/>
    <col min="15" max="16384" width="9" style="1"/>
  </cols>
  <sheetData>
    <row r="2" ht="27" customHeight="1" spans="1:10">
      <c r="A2" s="2" t="s">
        <v>0</v>
      </c>
      <c r="B2" s="3"/>
      <c r="C2" s="3"/>
      <c r="D2" s="3"/>
      <c r="E2" s="3"/>
      <c r="F2" s="3"/>
      <c r="G2" s="3"/>
      <c r="H2" s="3"/>
      <c r="I2" s="3"/>
      <c r="J2" s="60"/>
    </row>
    <row r="3" spans="1:10">
      <c r="A3" s="4" t="s">
        <v>1</v>
      </c>
      <c r="B3" s="5"/>
      <c r="C3" s="5"/>
      <c r="D3" s="5"/>
      <c r="E3" s="5"/>
      <c r="F3" s="5"/>
      <c r="G3" s="6" t="s">
        <v>2</v>
      </c>
      <c r="H3" s="7"/>
      <c r="I3" s="61"/>
      <c r="J3" s="62" t="s">
        <v>3</v>
      </c>
    </row>
    <row r="4" spans="1:10">
      <c r="A4" s="8" t="s">
        <v>4</v>
      </c>
      <c r="B4" s="9" t="s">
        <v>5</v>
      </c>
      <c r="C4" s="9"/>
      <c r="D4" s="9"/>
      <c r="E4" s="9"/>
      <c r="F4" s="9"/>
      <c r="G4" s="9"/>
      <c r="H4" s="9"/>
      <c r="I4" s="9"/>
      <c r="J4" s="63"/>
    </row>
    <row r="5" ht="24" customHeight="1" spans="1:11">
      <c r="A5" s="10">
        <v>1</v>
      </c>
      <c r="B5" s="11" t="s">
        <v>6</v>
      </c>
      <c r="C5" s="12"/>
      <c r="D5" s="12"/>
      <c r="E5" s="12"/>
      <c r="F5" s="12"/>
      <c r="G5" s="12"/>
      <c r="H5" s="12"/>
      <c r="I5" s="12"/>
      <c r="J5" s="64"/>
      <c r="K5" s="1">
        <v>2290000</v>
      </c>
    </row>
    <row r="6" ht="24" customHeight="1" spans="1:11">
      <c r="A6" s="10">
        <v>2</v>
      </c>
      <c r="B6" s="11" t="s">
        <v>7</v>
      </c>
      <c r="C6" s="12"/>
      <c r="D6" s="12"/>
      <c r="E6" s="13"/>
      <c r="F6" s="11" t="s">
        <v>8</v>
      </c>
      <c r="G6" s="12"/>
      <c r="H6" s="12"/>
      <c r="I6" s="12"/>
      <c r="J6" s="64"/>
      <c r="K6" s="1">
        <f>K5*4%</f>
        <v>91600</v>
      </c>
    </row>
    <row r="7" ht="24" customHeight="1" spans="1:11">
      <c r="A7" s="10">
        <v>3</v>
      </c>
      <c r="B7" s="14" t="s">
        <v>9</v>
      </c>
      <c r="C7" s="14"/>
      <c r="D7" s="14" t="s">
        <v>10</v>
      </c>
      <c r="E7" s="14"/>
      <c r="F7" s="14"/>
      <c r="G7" s="14"/>
      <c r="H7" s="14"/>
      <c r="I7" s="14"/>
      <c r="J7" s="65"/>
      <c r="K7" s="66">
        <f>D32</f>
        <v>37195.2084065333</v>
      </c>
    </row>
    <row r="8" ht="24" customHeight="1" spans="1:11">
      <c r="A8" s="10"/>
      <c r="B8" s="14"/>
      <c r="C8" s="14"/>
      <c r="D8" s="14" t="s">
        <v>11</v>
      </c>
      <c r="E8" s="14"/>
      <c r="F8" s="14"/>
      <c r="G8" s="14"/>
      <c r="H8" s="14"/>
      <c r="I8" s="14"/>
      <c r="J8" s="65"/>
      <c r="K8" s="1">
        <f>K5-K6-K7-K4</f>
        <v>2161204.79159347</v>
      </c>
    </row>
    <row r="9" ht="60" customHeight="1" spans="1:10">
      <c r="A9" s="10"/>
      <c r="B9" s="14"/>
      <c r="C9" s="14"/>
      <c r="D9" s="14" t="s">
        <v>12</v>
      </c>
      <c r="E9" s="14"/>
      <c r="F9" s="14"/>
      <c r="G9" s="14"/>
      <c r="H9" s="14"/>
      <c r="I9" s="14"/>
      <c r="J9" s="65"/>
    </row>
    <row r="10" ht="54" customHeight="1" spans="1:13">
      <c r="A10" s="10"/>
      <c r="B10" s="14"/>
      <c r="C10" s="14"/>
      <c r="D10" s="14" t="s">
        <v>13</v>
      </c>
      <c r="E10" s="14"/>
      <c r="F10" s="14"/>
      <c r="G10" s="14"/>
      <c r="H10" s="14"/>
      <c r="I10" s="14"/>
      <c r="J10" s="65"/>
      <c r="L10" s="67"/>
      <c r="M10" s="68"/>
    </row>
    <row r="11" ht="24" customHeight="1" spans="1:10">
      <c r="A11" s="10">
        <v>4</v>
      </c>
      <c r="B11" s="14" t="s">
        <v>14</v>
      </c>
      <c r="C11" s="14"/>
      <c r="D11" s="14" t="s">
        <v>15</v>
      </c>
      <c r="E11" s="14" t="s">
        <v>16</v>
      </c>
      <c r="F11" s="14"/>
      <c r="G11" s="14"/>
      <c r="H11" s="14"/>
      <c r="I11" s="14"/>
      <c r="J11" s="65"/>
    </row>
    <row r="12" spans="1:10">
      <c r="A12" s="8" t="s">
        <v>4</v>
      </c>
      <c r="B12" s="9" t="s">
        <v>17</v>
      </c>
      <c r="C12" s="9"/>
      <c r="D12" s="9"/>
      <c r="E12" s="9"/>
      <c r="F12" s="9"/>
      <c r="G12" s="9"/>
      <c r="H12" s="9"/>
      <c r="I12" s="9"/>
      <c r="J12" s="63"/>
    </row>
    <row r="13" ht="25" customHeight="1" spans="1:12">
      <c r="A13" s="10">
        <v>1</v>
      </c>
      <c r="B13" s="14" t="s">
        <v>18</v>
      </c>
      <c r="C13" s="14"/>
      <c r="D13" s="14" t="s">
        <v>19</v>
      </c>
      <c r="E13" s="14"/>
      <c r="F13" s="14"/>
      <c r="G13" s="14"/>
      <c r="H13" s="14"/>
      <c r="I13" s="14"/>
      <c r="J13" s="65"/>
      <c r="L13" s="69"/>
    </row>
    <row r="14" ht="25" customHeight="1" spans="1:10">
      <c r="A14" s="10">
        <v>2</v>
      </c>
      <c r="B14" s="14" t="s">
        <v>20</v>
      </c>
      <c r="C14" s="14"/>
      <c r="D14" s="15">
        <v>2162229.494</v>
      </c>
      <c r="E14" s="11" t="s">
        <v>21</v>
      </c>
      <c r="F14" s="12"/>
      <c r="G14" s="13"/>
      <c r="H14" s="14" t="s">
        <v>22</v>
      </c>
      <c r="I14" s="14"/>
      <c r="J14" s="65" t="s">
        <v>23</v>
      </c>
    </row>
    <row r="15" ht="25" customHeight="1" spans="1:10">
      <c r="A15" s="10">
        <v>3</v>
      </c>
      <c r="B15" s="14" t="s">
        <v>24</v>
      </c>
      <c r="C15" s="14"/>
      <c r="D15" s="15">
        <f>D14/1.13</f>
        <v>1913477.42831858</v>
      </c>
      <c r="E15" s="14" t="s">
        <v>25</v>
      </c>
      <c r="F15" s="14"/>
      <c r="G15" s="14"/>
      <c r="H15" s="14">
        <v>2152600</v>
      </c>
      <c r="I15" s="14"/>
      <c r="J15" s="65"/>
    </row>
    <row r="16" ht="25" customHeight="1" spans="1:10">
      <c r="A16" s="10">
        <v>4</v>
      </c>
      <c r="B16" s="16" t="s">
        <v>26</v>
      </c>
      <c r="C16" s="16" t="s">
        <v>27</v>
      </c>
      <c r="D16" s="16" t="s">
        <v>28</v>
      </c>
      <c r="E16" s="17">
        <f>D14*80%</f>
        <v>1729783.5952</v>
      </c>
      <c r="F16" s="11" t="s">
        <v>29</v>
      </c>
      <c r="G16" s="12"/>
      <c r="H16" s="12"/>
      <c r="I16" s="12"/>
      <c r="J16" s="64"/>
    </row>
    <row r="17" ht="25" customHeight="1" spans="1:10">
      <c r="A17" s="10"/>
      <c r="B17" s="16"/>
      <c r="C17" s="16"/>
      <c r="D17" s="16"/>
      <c r="E17" s="17">
        <f>D14*10%</f>
        <v>216222.9494</v>
      </c>
      <c r="F17" s="11" t="s">
        <v>30</v>
      </c>
      <c r="G17" s="12"/>
      <c r="H17" s="12"/>
      <c r="I17" s="12"/>
      <c r="J17" s="64"/>
    </row>
    <row r="18" ht="25" customHeight="1" spans="1:10">
      <c r="A18" s="10"/>
      <c r="B18" s="16"/>
      <c r="C18" s="16"/>
      <c r="D18" s="16"/>
      <c r="E18" s="17">
        <v>114500</v>
      </c>
      <c r="F18" s="11" t="s">
        <v>31</v>
      </c>
      <c r="G18" s="12"/>
      <c r="H18" s="12"/>
      <c r="I18" s="12"/>
      <c r="J18" s="64"/>
    </row>
    <row r="19" ht="25" customHeight="1" spans="1:10">
      <c r="A19" s="10"/>
      <c r="B19" s="16"/>
      <c r="C19" s="16"/>
      <c r="D19" s="14"/>
      <c r="E19" s="17">
        <v>114500</v>
      </c>
      <c r="F19" s="11" t="s">
        <v>32</v>
      </c>
      <c r="G19" s="12"/>
      <c r="H19" s="12"/>
      <c r="I19" s="12"/>
      <c r="J19" s="64"/>
    </row>
    <row r="20" ht="25" customHeight="1" spans="1:10">
      <c r="A20" s="8" t="s">
        <v>4</v>
      </c>
      <c r="B20" s="9" t="s">
        <v>33</v>
      </c>
      <c r="C20" s="9"/>
      <c r="D20" s="9"/>
      <c r="E20" s="9"/>
      <c r="F20" s="9"/>
      <c r="G20" s="9"/>
      <c r="H20" s="9"/>
      <c r="I20" s="9"/>
      <c r="J20" s="63"/>
    </row>
    <row r="21" ht="25" customHeight="1" spans="1:10">
      <c r="A21" s="10">
        <v>1</v>
      </c>
      <c r="B21" s="14" t="s">
        <v>34</v>
      </c>
      <c r="C21" s="14"/>
      <c r="D21" s="14" t="s">
        <v>35</v>
      </c>
      <c r="E21" s="18"/>
      <c r="F21" s="18"/>
      <c r="G21" s="18"/>
      <c r="H21" s="14"/>
      <c r="I21" s="14"/>
      <c r="J21" s="65"/>
    </row>
    <row r="22" ht="25" customHeight="1" spans="1:10">
      <c r="A22" s="10">
        <v>2</v>
      </c>
      <c r="B22" s="14" t="s">
        <v>36</v>
      </c>
      <c r="C22" s="14"/>
      <c r="D22" s="15">
        <v>2290000</v>
      </c>
      <c r="E22" s="14" t="s">
        <v>21</v>
      </c>
      <c r="F22" s="14"/>
      <c r="G22" s="14"/>
      <c r="H22" s="11" t="s">
        <v>22</v>
      </c>
      <c r="I22" s="13"/>
      <c r="J22" s="65" t="s">
        <v>23</v>
      </c>
    </row>
    <row r="23" ht="25" customHeight="1" spans="1:10">
      <c r="A23" s="10">
        <v>3</v>
      </c>
      <c r="B23" s="14" t="s">
        <v>37</v>
      </c>
      <c r="C23" s="14"/>
      <c r="D23" s="15">
        <f>D22/1.13</f>
        <v>2026548.67256637</v>
      </c>
      <c r="E23" s="14" t="s">
        <v>38</v>
      </c>
      <c r="F23" s="14"/>
      <c r="G23" s="14"/>
      <c r="H23" s="11"/>
      <c r="I23" s="12"/>
      <c r="J23" s="64"/>
    </row>
    <row r="24" ht="25" customHeight="1" spans="1:10">
      <c r="A24" s="19">
        <v>4</v>
      </c>
      <c r="B24" s="20" t="s">
        <v>39</v>
      </c>
      <c r="C24" s="20" t="s">
        <v>40</v>
      </c>
      <c r="D24" s="16" t="s">
        <v>41</v>
      </c>
      <c r="E24" s="17">
        <f>D22</f>
        <v>2290000</v>
      </c>
      <c r="F24" s="11" t="s">
        <v>42</v>
      </c>
      <c r="G24" s="12"/>
      <c r="H24" s="12"/>
      <c r="I24" s="12"/>
      <c r="J24" s="64"/>
    </row>
    <row r="25" ht="25" customHeight="1" spans="1:10">
      <c r="A25" s="21"/>
      <c r="B25" s="22"/>
      <c r="C25" s="22"/>
      <c r="D25" s="16"/>
      <c r="E25" s="17">
        <v>114500</v>
      </c>
      <c r="F25" s="11" t="s">
        <v>43</v>
      </c>
      <c r="G25" s="12"/>
      <c r="H25" s="12"/>
      <c r="I25" s="12"/>
      <c r="J25" s="64"/>
    </row>
    <row r="26" ht="25" customHeight="1" spans="1:10">
      <c r="A26" s="23"/>
      <c r="B26" s="24"/>
      <c r="C26" s="24"/>
      <c r="D26" s="25"/>
      <c r="E26" s="17">
        <v>114500</v>
      </c>
      <c r="F26" s="11" t="s">
        <v>44</v>
      </c>
      <c r="G26" s="12"/>
      <c r="H26" s="12"/>
      <c r="I26" s="12"/>
      <c r="J26" s="64"/>
    </row>
    <row r="27" ht="25" customHeight="1" spans="1:10">
      <c r="A27" s="26"/>
      <c r="B27" s="27"/>
      <c r="C27" s="27"/>
      <c r="D27" s="25"/>
      <c r="E27" s="28"/>
      <c r="F27" s="11"/>
      <c r="G27" s="12"/>
      <c r="H27" s="12"/>
      <c r="I27" s="12"/>
      <c r="J27" s="64"/>
    </row>
    <row r="28" ht="25" customHeight="1" spans="1:10">
      <c r="A28" s="8" t="s">
        <v>4</v>
      </c>
      <c r="B28" s="9" t="s">
        <v>45</v>
      </c>
      <c r="C28" s="9"/>
      <c r="D28" s="9"/>
      <c r="E28" s="9"/>
      <c r="F28" s="9"/>
      <c r="G28" s="9"/>
      <c r="H28" s="9"/>
      <c r="I28" s="9"/>
      <c r="J28" s="63"/>
    </row>
    <row r="29" ht="25" customHeight="1" spans="1:10">
      <c r="A29" s="10">
        <v>1</v>
      </c>
      <c r="B29" s="11" t="s">
        <v>46</v>
      </c>
      <c r="C29" s="13"/>
      <c r="D29" s="29">
        <f>D23-D15</f>
        <v>113071.244247788</v>
      </c>
      <c r="E29" s="30" t="s">
        <v>47</v>
      </c>
      <c r="F29" s="30"/>
      <c r="G29" s="30"/>
      <c r="H29" s="30"/>
      <c r="I29" s="30"/>
      <c r="J29" s="70"/>
    </row>
    <row r="30" ht="25" customHeight="1" spans="1:10">
      <c r="A30" s="10">
        <v>2</v>
      </c>
      <c r="B30" s="11" t="s">
        <v>48</v>
      </c>
      <c r="C30" s="13"/>
      <c r="D30" s="31">
        <f>D29/D23</f>
        <v>0.0557949807860263</v>
      </c>
      <c r="E30" s="32" t="s">
        <v>49</v>
      </c>
      <c r="F30" s="32"/>
      <c r="G30" s="32"/>
      <c r="H30" s="32"/>
      <c r="I30" s="32"/>
      <c r="J30" s="71"/>
    </row>
    <row r="31" ht="25" customHeight="1" spans="1:10">
      <c r="A31" s="8" t="s">
        <v>4</v>
      </c>
      <c r="B31" s="9" t="s">
        <v>50</v>
      </c>
      <c r="C31" s="9"/>
      <c r="D31" s="9"/>
      <c r="E31" s="9"/>
      <c r="F31" s="9"/>
      <c r="G31" s="9"/>
      <c r="H31" s="9"/>
      <c r="I31" s="9"/>
      <c r="J31" s="63"/>
    </row>
    <row r="32" ht="25" customHeight="1" spans="1:10">
      <c r="A32" s="10">
        <v>1</v>
      </c>
      <c r="B32" s="14" t="s">
        <v>51</v>
      </c>
      <c r="C32" s="14"/>
      <c r="D32" s="29">
        <f>J54</f>
        <v>37195.2084065333</v>
      </c>
      <c r="E32" s="14" t="s">
        <v>52</v>
      </c>
      <c r="F32" s="14"/>
      <c r="G32" s="14"/>
      <c r="H32" s="14"/>
      <c r="I32" s="14"/>
      <c r="J32" s="65"/>
    </row>
    <row r="33" ht="25" customHeight="1" spans="1:10">
      <c r="A33" s="19">
        <v>2</v>
      </c>
      <c r="B33" s="20" t="s">
        <v>53</v>
      </c>
      <c r="C33" s="33" t="s">
        <v>54</v>
      </c>
      <c r="D33" s="16">
        <v>29190</v>
      </c>
      <c r="E33" s="14"/>
      <c r="F33" s="14"/>
      <c r="G33" s="14"/>
      <c r="H33" s="14"/>
      <c r="I33" s="14"/>
      <c r="J33" s="65"/>
    </row>
    <row r="34" ht="25" customHeight="1" spans="1:10">
      <c r="A34" s="21"/>
      <c r="B34" s="22"/>
      <c r="C34" s="33" t="s">
        <v>55</v>
      </c>
      <c r="D34" s="16">
        <v>0</v>
      </c>
      <c r="E34" s="34"/>
      <c r="F34" s="35"/>
      <c r="G34" s="35"/>
      <c r="H34" s="35"/>
      <c r="I34" s="35"/>
      <c r="J34" s="72"/>
    </row>
    <row r="35" ht="25" customHeight="1" spans="1:10">
      <c r="A35" s="21"/>
      <c r="B35" s="22"/>
      <c r="C35" s="33" t="s">
        <v>56</v>
      </c>
      <c r="D35" s="16">
        <v>0</v>
      </c>
      <c r="E35" s="11"/>
      <c r="F35" s="12"/>
      <c r="G35" s="12"/>
      <c r="H35" s="12"/>
      <c r="I35" s="12"/>
      <c r="J35" s="64"/>
    </row>
    <row r="36" ht="25" customHeight="1" spans="1:10">
      <c r="A36" s="36"/>
      <c r="B36" s="37"/>
      <c r="C36" s="14" t="s">
        <v>57</v>
      </c>
      <c r="D36" s="16">
        <f>D33+D34+D35</f>
        <v>29190</v>
      </c>
      <c r="E36" s="11"/>
      <c r="F36" s="12"/>
      <c r="G36" s="12"/>
      <c r="H36" s="12"/>
      <c r="I36" s="12"/>
      <c r="J36" s="64"/>
    </row>
    <row r="37" ht="25" customHeight="1" spans="1:10">
      <c r="A37" s="10">
        <v>4</v>
      </c>
      <c r="B37" s="14" t="s">
        <v>58</v>
      </c>
      <c r="C37" s="14"/>
      <c r="D37" s="16"/>
      <c r="E37" s="14"/>
      <c r="F37" s="14"/>
      <c r="G37" s="14"/>
      <c r="H37" s="14"/>
      <c r="I37" s="14"/>
      <c r="J37" s="65"/>
    </row>
    <row r="38" ht="25" customHeight="1" spans="1:10">
      <c r="A38" s="10">
        <v>5</v>
      </c>
      <c r="B38" s="14" t="s">
        <v>59</v>
      </c>
      <c r="C38" s="14"/>
      <c r="D38" s="15">
        <f>D29*0.13*0.12</f>
        <v>1763.91141026549</v>
      </c>
      <c r="E38" s="14" t="s">
        <v>60</v>
      </c>
      <c r="F38" s="14"/>
      <c r="G38" s="14"/>
      <c r="H38" s="14"/>
      <c r="I38" s="14"/>
      <c r="J38" s="65"/>
    </row>
    <row r="39" ht="25" customHeight="1" spans="1:10">
      <c r="A39" s="10">
        <v>6</v>
      </c>
      <c r="B39" s="14" t="s">
        <v>61</v>
      </c>
      <c r="C39" s="14"/>
      <c r="D39" s="15">
        <f>(D14+D22)*0.3/1000</f>
        <v>1335.6688482</v>
      </c>
      <c r="E39" s="14" t="s">
        <v>62</v>
      </c>
      <c r="F39" s="14"/>
      <c r="G39" s="14"/>
      <c r="H39" s="14"/>
      <c r="I39" s="14"/>
      <c r="J39" s="65"/>
    </row>
    <row r="40" ht="25" customHeight="1" spans="1:10">
      <c r="A40" s="10">
        <v>7</v>
      </c>
      <c r="B40" s="11" t="s">
        <v>63</v>
      </c>
      <c r="C40" s="13"/>
      <c r="D40" s="15">
        <f>D29-D32-D36-D37-D38-D39</f>
        <v>43586.455582789</v>
      </c>
      <c r="E40" s="34"/>
      <c r="F40" s="35"/>
      <c r="G40" s="35"/>
      <c r="H40" s="35"/>
      <c r="I40" s="35"/>
      <c r="J40" s="72"/>
    </row>
    <row r="41" ht="25" customHeight="1" spans="1:10">
      <c r="A41" s="10">
        <v>8</v>
      </c>
      <c r="B41" s="14" t="s">
        <v>64</v>
      </c>
      <c r="C41" s="14"/>
      <c r="D41" s="38">
        <f>D40*0.75</f>
        <v>32689.8416870918</v>
      </c>
      <c r="E41" s="14" t="s">
        <v>65</v>
      </c>
      <c r="F41" s="14"/>
      <c r="G41" s="14"/>
      <c r="H41" s="14"/>
      <c r="I41" s="14"/>
      <c r="J41" s="65"/>
    </row>
    <row r="42" ht="25" customHeight="1" spans="1:10">
      <c r="A42" s="10">
        <v>9</v>
      </c>
      <c r="B42" s="14" t="s">
        <v>66</v>
      </c>
      <c r="C42" s="14"/>
      <c r="D42" s="39">
        <f>D41/D23</f>
        <v>0.0161307952429754</v>
      </c>
      <c r="E42" s="14" t="s">
        <v>67</v>
      </c>
      <c r="F42" s="14"/>
      <c r="G42" s="14"/>
      <c r="H42" s="14"/>
      <c r="I42" s="14"/>
      <c r="J42" s="65"/>
    </row>
    <row r="43" ht="84" customHeight="1" spans="1:10">
      <c r="A43" s="40" t="s">
        <v>68</v>
      </c>
      <c r="B43" s="41"/>
      <c r="C43" s="41"/>
      <c r="D43" s="41"/>
      <c r="E43" s="41"/>
      <c r="F43" s="41"/>
      <c r="G43" s="41"/>
      <c r="H43" s="41"/>
      <c r="I43" s="41"/>
      <c r="J43" s="73"/>
    </row>
    <row r="44" ht="33" customHeight="1" spans="1:10">
      <c r="A44" s="42"/>
      <c r="B44" s="43"/>
      <c r="C44" s="43"/>
      <c r="D44" s="43" t="s">
        <v>69</v>
      </c>
      <c r="E44" s="43"/>
      <c r="F44" s="43"/>
      <c r="G44" s="43"/>
      <c r="H44" s="43"/>
      <c r="I44" s="43"/>
      <c r="J44" s="74"/>
    </row>
    <row r="45" ht="17.25"/>
    <row r="46" ht="30" customHeight="1" spans="1:10">
      <c r="A46" s="44" t="s">
        <v>70</v>
      </c>
      <c r="B46" s="45"/>
      <c r="C46" s="45"/>
      <c r="D46" s="45"/>
      <c r="E46" s="45"/>
      <c r="F46" s="45"/>
      <c r="G46" s="45"/>
      <c r="H46" s="45"/>
      <c r="I46" s="45"/>
      <c r="J46" s="75"/>
    </row>
    <row r="47" ht="29" spans="1:10">
      <c r="A47" s="46"/>
      <c r="B47" s="27" t="s">
        <v>71</v>
      </c>
      <c r="C47" s="27" t="s">
        <v>72</v>
      </c>
      <c r="D47" s="27" t="s">
        <v>73</v>
      </c>
      <c r="E47" s="27" t="s">
        <v>74</v>
      </c>
      <c r="F47" s="27" t="s">
        <v>75</v>
      </c>
      <c r="G47" s="27" t="s">
        <v>76</v>
      </c>
      <c r="H47" s="27" t="s">
        <v>77</v>
      </c>
      <c r="I47" s="76" t="s">
        <v>78</v>
      </c>
      <c r="J47" s="77" t="s">
        <v>79</v>
      </c>
    </row>
    <row r="48" spans="1:10">
      <c r="A48" s="47" t="s">
        <v>80</v>
      </c>
      <c r="B48" s="48">
        <v>229000</v>
      </c>
      <c r="C48" s="49">
        <f>B48/$B$54</f>
        <v>0.105287039511927</v>
      </c>
      <c r="D48" s="50"/>
      <c r="E48" s="48"/>
      <c r="F48" s="49">
        <f t="shared" ref="F48:F52" si="0">E48/$E$54</f>
        <v>0</v>
      </c>
      <c r="G48" s="50"/>
      <c r="H48" s="51">
        <v>720</v>
      </c>
      <c r="I48" s="49">
        <v>0.0335</v>
      </c>
      <c r="J48" s="78">
        <f t="shared" ref="J48:J51" si="1">B48*I48/360*H48</f>
        <v>15343</v>
      </c>
    </row>
    <row r="49" spans="1:10">
      <c r="A49" s="47" t="s">
        <v>81</v>
      </c>
      <c r="B49" s="48">
        <f>E16</f>
        <v>1729783.5952</v>
      </c>
      <c r="C49" s="49">
        <f>B49/$B$54</f>
        <v>0.795300409322732</v>
      </c>
      <c r="D49" s="50"/>
      <c r="E49" s="48">
        <v>2290000</v>
      </c>
      <c r="F49" s="49">
        <f t="shared" si="0"/>
        <v>0.952380952380952</v>
      </c>
      <c r="G49" s="50"/>
      <c r="H49" s="51">
        <v>60</v>
      </c>
      <c r="I49" s="49">
        <f>I48</f>
        <v>0.0335</v>
      </c>
      <c r="J49" s="78">
        <f t="shared" si="1"/>
        <v>9657.95840653333</v>
      </c>
    </row>
    <row r="50" spans="1:10">
      <c r="A50" s="47" t="s">
        <v>82</v>
      </c>
      <c r="B50" s="48">
        <f>E17</f>
        <v>216222.9494</v>
      </c>
      <c r="C50" s="49">
        <f>B50/$B$54</f>
        <v>0.0994125511653415</v>
      </c>
      <c r="D50" s="50"/>
      <c r="E50" s="48"/>
      <c r="F50" s="49"/>
      <c r="G50" s="50"/>
      <c r="H50" s="51"/>
      <c r="I50" s="49"/>
      <c r="J50" s="78"/>
    </row>
    <row r="51" spans="1:13">
      <c r="A51" s="47" t="s">
        <v>83</v>
      </c>
      <c r="B51" s="48">
        <v>114500</v>
      </c>
      <c r="C51" s="49">
        <f>B51/$B$54</f>
        <v>0.0526435197559635</v>
      </c>
      <c r="D51" s="50"/>
      <c r="E51" s="48">
        <v>114500</v>
      </c>
      <c r="F51" s="49">
        <f t="shared" si="0"/>
        <v>0.0476190476190476</v>
      </c>
      <c r="G51" s="50"/>
      <c r="H51" s="51">
        <v>1080</v>
      </c>
      <c r="I51" s="49">
        <v>0.0355</v>
      </c>
      <c r="J51" s="78">
        <f>B51*I51/360*H51</f>
        <v>12194.25</v>
      </c>
      <c r="M51" s="1">
        <v>14665047</v>
      </c>
    </row>
    <row r="52" spans="1:10">
      <c r="A52" s="52" t="s">
        <v>84</v>
      </c>
      <c r="B52" s="53">
        <v>114500</v>
      </c>
      <c r="C52" s="54">
        <f>B52/$B$54</f>
        <v>0.0526435197559635</v>
      </c>
      <c r="D52" s="55"/>
      <c r="E52" s="53">
        <v>114500</v>
      </c>
      <c r="F52" s="54">
        <f t="shared" si="0"/>
        <v>0.0476190476190476</v>
      </c>
      <c r="G52" s="55"/>
      <c r="H52" s="55">
        <v>0</v>
      </c>
      <c r="I52" s="54">
        <v>0.0355</v>
      </c>
      <c r="J52" s="79"/>
    </row>
    <row r="53" spans="1:10">
      <c r="A53" s="52"/>
      <c r="B53" s="53"/>
      <c r="C53" s="54"/>
      <c r="D53" s="55"/>
      <c r="E53" s="53"/>
      <c r="F53" s="54"/>
      <c r="G53" s="55"/>
      <c r="H53" s="55"/>
      <c r="I53" s="54"/>
      <c r="J53" s="79"/>
    </row>
    <row r="54" ht="17.25" spans="1:13">
      <c r="A54" s="56" t="s">
        <v>57</v>
      </c>
      <c r="B54" s="57">
        <f>SUM(B48:B50)</f>
        <v>2175006.5446</v>
      </c>
      <c r="C54" s="58">
        <f>SUM(C48:C50)</f>
        <v>1</v>
      </c>
      <c r="D54" s="59"/>
      <c r="E54" s="57">
        <f>SUM(E48:E51)</f>
        <v>2404500</v>
      </c>
      <c r="F54" s="58">
        <f>E54/$E$54</f>
        <v>1</v>
      </c>
      <c r="G54" s="59"/>
      <c r="H54" s="59"/>
      <c r="I54" s="58"/>
      <c r="J54" s="80">
        <f>SUM(J48:J51)</f>
        <v>37195.2084065333</v>
      </c>
      <c r="M54" s="1">
        <f>M51*0.03</f>
        <v>439951.41</v>
      </c>
    </row>
    <row r="55" spans="13:13">
      <c r="M55" s="1">
        <f>M54*33.33%</f>
        <v>146635.804953</v>
      </c>
    </row>
  </sheetData>
  <mergeCells count="77">
    <mergeCell ref="A2:J2"/>
    <mergeCell ref="A3:F3"/>
    <mergeCell ref="H3:I3"/>
    <mergeCell ref="B4:J4"/>
    <mergeCell ref="B5:J5"/>
    <mergeCell ref="B6:E6"/>
    <mergeCell ref="F6:J6"/>
    <mergeCell ref="D7:J7"/>
    <mergeCell ref="D8:J8"/>
    <mergeCell ref="D9:J9"/>
    <mergeCell ref="D10:J10"/>
    <mergeCell ref="B11:C11"/>
    <mergeCell ref="E11:J11"/>
    <mergeCell ref="B12:J12"/>
    <mergeCell ref="B13:C13"/>
    <mergeCell ref="D13:J13"/>
    <mergeCell ref="B14:C14"/>
    <mergeCell ref="E14:G14"/>
    <mergeCell ref="H14:I14"/>
    <mergeCell ref="B15:C15"/>
    <mergeCell ref="E15:G15"/>
    <mergeCell ref="H15:J15"/>
    <mergeCell ref="F16:J16"/>
    <mergeCell ref="F17:J17"/>
    <mergeCell ref="F18:J18"/>
    <mergeCell ref="F19:J19"/>
    <mergeCell ref="B20:J20"/>
    <mergeCell ref="B21:C21"/>
    <mergeCell ref="D21:J21"/>
    <mergeCell ref="B22:C22"/>
    <mergeCell ref="E22:G22"/>
    <mergeCell ref="H22:I22"/>
    <mergeCell ref="B23:C23"/>
    <mergeCell ref="E23:G23"/>
    <mergeCell ref="H23:J23"/>
    <mergeCell ref="F24:J24"/>
    <mergeCell ref="F25:J25"/>
    <mergeCell ref="F26:J26"/>
    <mergeCell ref="F27:J27"/>
    <mergeCell ref="B28:J28"/>
    <mergeCell ref="B29:C29"/>
    <mergeCell ref="E29:J29"/>
    <mergeCell ref="B30:C30"/>
    <mergeCell ref="E30:J30"/>
    <mergeCell ref="B31:J31"/>
    <mergeCell ref="B32:C32"/>
    <mergeCell ref="E32:J32"/>
    <mergeCell ref="E33:J33"/>
    <mergeCell ref="E34:J34"/>
    <mergeCell ref="E35:J35"/>
    <mergeCell ref="E36:J36"/>
    <mergeCell ref="B37:C37"/>
    <mergeCell ref="E37:J37"/>
    <mergeCell ref="B38:C38"/>
    <mergeCell ref="E38:J38"/>
    <mergeCell ref="B39:C39"/>
    <mergeCell ref="E39:J39"/>
    <mergeCell ref="B40:C40"/>
    <mergeCell ref="E40:J40"/>
    <mergeCell ref="B41:C41"/>
    <mergeCell ref="E41:J41"/>
    <mergeCell ref="B42:C42"/>
    <mergeCell ref="E42:J42"/>
    <mergeCell ref="A43:J43"/>
    <mergeCell ref="A44:C44"/>
    <mergeCell ref="D44:J44"/>
    <mergeCell ref="A46:J46"/>
    <mergeCell ref="A7:A10"/>
    <mergeCell ref="A16:A19"/>
    <mergeCell ref="A24:A27"/>
    <mergeCell ref="A33:A36"/>
    <mergeCell ref="B16:B19"/>
    <mergeCell ref="B24:B27"/>
    <mergeCell ref="B33:B36"/>
    <mergeCell ref="C16:C19"/>
    <mergeCell ref="C24:C27"/>
    <mergeCell ref="B7:C10"/>
  </mergeCells>
  <pageMargins left="0.75" right="0.75" top="1" bottom="1" header="0.5" footer="0.5"/>
  <pageSetup paperSize="9" scale="60" orientation="portrait"/>
  <headerFooter/>
  <colBreaks count="1" manualBreakCount="1">
    <brk id="10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牛克麟</dc:creator>
  <cp:lastModifiedBy>微信用户</cp:lastModifiedBy>
  <dcterms:created xsi:type="dcterms:W3CDTF">2024-10-29T04:30:00Z</dcterms:created>
  <dcterms:modified xsi:type="dcterms:W3CDTF">2025-05-29T02:35:00Z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24B3F76CCD1A4A108CE6B09BA673118A_13</vt:lpwstr>
  </property>
  <property fmtid="{D5CDD505-2E9C-101B-9397-08002B2CF9AE}" pid="3" name="KSOProductBuildVer">
    <vt:lpwstr>2052-12.1.0.21171</vt:lpwstr>
  </property>
</Properties>
</file>